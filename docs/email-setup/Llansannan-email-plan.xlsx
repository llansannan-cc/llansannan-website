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Mailboxes" sheetId="3" state="visible" r:id="rId5"/>
    <sheet name="Aliases" sheetId="4" state="visible" r:id="rId6"/>
    <sheet name="Forwarders (.llyw.cymru)" sheetId="5" state="visible" r:id="rId7"/>
    <sheet name="DNS recor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<sst xmlns="http://schemas.openxmlformats.org/spreadsheetml/2006/main" count="190" uniqueCount="123">
  <si>
    <t xml:space="preserve">Llansannan Community Council - email plan</t>
  </si>
  <si>
    <t xml:space="preserve">Hosting: Cloud Next (StackCP). Companion to 'Llansannan-email-setup-guide.docx'.</t>
  </si>
  <si>
    <t xml:space="preserve">What this is</t>
  </si>
  <si>
    <t xml:space="preserve">Every mailbox, alias and forwarder needed so that: (1) each councillor has a real mailbox named firstname.surname@llansannan-cc.gov.wales; (2) cllr.firstname.surname@ is an alias that delivers to it; (3) every address on llansannan-cc.llyw.cymru delivers to the matching .gov.wales mailbox.</t>
  </si>
  <si>
    <t xml:space="preserve">How to use</t>
  </si>
  <si>
    <t xml:space="preserve">Work left to right through sheets 1-4. Tick 'Created?' as you go. Blue text = cells you can change; everything else is a formula and updates itself.</t>
  </si>
  <si>
    <t xml:space="preserve">Name rules used</t>
  </si>
  <si>
    <t xml:space="preserve">firstname.surname, lowercase; middle names and initials dropped; hyphens kept. Names come from the website's councillor list - if anyone's name or role changes there, update the blue prefix cells here.</t>
  </si>
  <si>
    <t xml:space="preserve">Suggested extras</t>
  </si>
  <si>
    <t xml:space="preserve">clerk@, chair@, info@ and dmarc@ are my suggestions, not requested. Delete the rows if not wanted (and the matching rows on the Forwarders sheet).</t>
  </si>
  <si>
    <t xml:space="preserve">Not verified</t>
  </si>
  <si>
    <t xml:space="preserve">Cloud Next does not publish its MX hostnames, DKIM steps or an alias-domain feature on public pages, so those are marked CONFIRM on the DNS sheet. The guide includes a ready-to-send support ticket.</t>
  </si>
  <si>
    <t xml:space="preserve">Totals (formulas)</t>
  </si>
  <si>
    <t xml:space="preserve">Real mailboxes to create</t>
  </si>
  <si>
    <t xml:space="preserve">Aliases on the .gov.wales domain (cllr. + roles)</t>
  </si>
  <si>
    <t xml:space="preserve">Forwarders on the .llyw.cymru domain</t>
  </si>
  <si>
    <t xml:space="preserve">Mailboxes marked created</t>
  </si>
  <si>
    <t xml:space="preserve">Aliases marked created</t>
  </si>
  <si>
    <t xml:space="preserve">Forwarders marked created</t>
  </si>
  <si>
    <t xml:space="preserve">Domain settings</t>
  </si>
  <si>
    <t xml:space="preserve">Change a domain here and every address in the workbook updates.</t>
  </si>
  <si>
    <t xml:space="preserve">Primary domain (real mailboxes live here)</t>
  </si>
  <si>
    <t xml:space="preserve">llansannan-cc.gov.wales</t>
  </si>
  <si>
    <t xml:space="preserve">Alias domain (forwards to the primary)</t>
  </si>
  <si>
    <t xml:space="preserve">llansannan-cc.llyw.cymru</t>
  </si>
  <si>
    <t xml:space="preserve">Source: domains confirmed by Tom in chat (primary .gov.wales, alias .llyw.cymru). Website config also uses llansannan-cc.gov.wales.</t>
  </si>
  <si>
    <t xml:space="preserve">1. Mailboxes to create on the primary domain</t>
  </si>
  <si>
    <t xml:space="preserve">Names and roles taken from the councillors list on the website (councillors.json). Blue cells are editable.</t>
  </si>
  <si>
    <t xml:space="preserve">#</t>
  </si>
  <si>
    <t xml:space="preserve">Person (as on website)</t>
  </si>
  <si>
    <t xml:space="preserve">Role</t>
  </si>
  <si>
    <t xml:space="preserve">Ward</t>
  </si>
  <si>
    <t xml:space="preserve">Address prefix (before @)</t>
  </si>
  <si>
    <t xml:space="preserve">Full mailbox address</t>
  </si>
  <si>
    <t xml:space="preserve">Created? (Yes/No)</t>
  </si>
  <si>
    <t xml:space="preserve">Notes</t>
  </si>
  <si>
    <t xml:space="preserve">Tammi Owen</t>
  </si>
  <si>
    <t xml:space="preserve">Chair</t>
  </si>
  <si>
    <t xml:space="preserve">Llansannan</t>
  </si>
  <si>
    <t xml:space="preserve">tammi.owen</t>
  </si>
  <si>
    <t xml:space="preserve">Bethan Jones</t>
  </si>
  <si>
    <t xml:space="preserve">Councillor</t>
  </si>
  <si>
    <t xml:space="preserve">bethan.jones</t>
  </si>
  <si>
    <t xml:space="preserve">Three Joneses on the council - full first names keep these distinct.</t>
  </si>
  <si>
    <t xml:space="preserve">Bethan L. Evans</t>
  </si>
  <si>
    <t xml:space="preserve">bethan.evans</t>
  </si>
  <si>
    <t xml:space="preserve">Middle initial dropped.</t>
  </si>
  <si>
    <t xml:space="preserve">Eifion M Jones</t>
  </si>
  <si>
    <t xml:space="preserve">eifion.jones</t>
  </si>
  <si>
    <t xml:space="preserve">Meurig Davies</t>
  </si>
  <si>
    <t xml:space="preserve">meurig.davies</t>
  </si>
  <si>
    <t xml:space="preserve">Susan Van-Look</t>
  </si>
  <si>
    <t xml:space="preserve">susan.van-look</t>
  </si>
  <si>
    <t xml:space="preserve">Hyphen kept (valid in addresses). Change to susan.vanlook here if preferred.</t>
  </si>
  <si>
    <t xml:space="preserve">Trefor Roberts</t>
  </si>
  <si>
    <t xml:space="preserve">trefor.roberts</t>
  </si>
  <si>
    <t xml:space="preserve">David Morris</t>
  </si>
  <si>
    <t xml:space="preserve">Bylchau</t>
  </si>
  <si>
    <t xml:space="preserve">david.morris</t>
  </si>
  <si>
    <t xml:space="preserve">Elwyn Jones</t>
  </si>
  <si>
    <t xml:space="preserve">elwyn.jones</t>
  </si>
  <si>
    <t xml:space="preserve">Ffion Clwyd Edwards</t>
  </si>
  <si>
    <t xml:space="preserve">ffion.edwards</t>
  </si>
  <si>
    <t xml:space="preserve">Middle name dropped.</t>
  </si>
  <si>
    <t xml:space="preserve">Delyth Williams</t>
  </si>
  <si>
    <t xml:space="preserve">Clerk</t>
  </si>
  <si>
    <t xml:space="preserve">Staff</t>
  </si>
  <si>
    <t xml:space="preserve">delyth.williams</t>
  </si>
  <si>
    <t xml:space="preserve">Clerk also gets clerk@ (see Aliases sheet) so the role address survives a change of clerk.</t>
  </si>
  <si>
    <t xml:space="preserve">2. Aliases on the primary domain (cllr. addresses and role addresses)</t>
  </si>
  <si>
    <t xml:space="preserve">In StackCP these are Email Forwarders: each alias forwards to the real mailbox. Role addresses (rows 15-18) are suggestions - delete any you don't want.</t>
  </si>
  <si>
    <t xml:space="preserve">Alias prefix</t>
  </si>
  <si>
    <t xml:space="preserve">Alias address</t>
  </si>
  <si>
    <t xml:space="preserve">Delivers to (real mailbox)</t>
  </si>
  <si>
    <t xml:space="preserve">Type</t>
  </si>
  <si>
    <t xml:space="preserve">Councillor alias</t>
  </si>
  <si>
    <t xml:space="preserve">clerk</t>
  </si>
  <si>
    <t xml:space="preserve">Role address (suggested)</t>
  </si>
  <si>
    <t xml:space="preserve">chair</t>
  </si>
  <si>
    <t xml:space="preserve">info</t>
  </si>
  <si>
    <t xml:space="preserve">Role address (suggested) - replaces llansannancc@gmail.com on the website</t>
  </si>
  <si>
    <t xml:space="preserve">dmarc</t>
  </si>
  <si>
    <t xml:space="preserve">DMARC report inbox (suggested) - expect automated report emails</t>
  </si>
  <si>
    <t xml:space="preserve">3. Make the .llyw.cymru domain deliver to the .gov.wales mailboxes</t>
  </si>
  <si>
    <t xml:space="preserve">One forwarder per address. Each points straight at the real mailbox (not at another forwarder). Ask Cloud Next first whether a single domain alias can replace all of these - see the guide.</t>
  </si>
  <si>
    <t xml:space="preserve">Address prefix</t>
  </si>
  <si>
    <t xml:space="preserve">Source address (alias domain)</t>
  </si>
  <si>
    <t xml:space="preserve">Forwards to (real mailbox)</t>
  </si>
  <si>
    <t xml:space="preserve">Kind</t>
  </si>
  <si>
    <t xml:space="preserve">Mailbox name</t>
  </si>
  <si>
    <t xml:space="preserve">Role address</t>
  </si>
  <si>
    <t xml:space="preserve">4. DNS records to publish</t>
  </si>
  <si>
    <t xml:space="preserve">Add these wherever each domain's nameservers point (likely Cloudflare, as the website is served from there). Set mail records to 'DNS only'. Yellow = value must be copied from StackCP / confirmed with Cloud Next.</t>
  </si>
  <si>
    <t xml:space="preserve">Domain</t>
  </si>
  <si>
    <t xml:space="preserve">Name / host</t>
  </si>
  <si>
    <t xml:space="preserve">Value</t>
  </si>
  <si>
    <t xml:space="preserve">Status</t>
  </si>
  <si>
    <t xml:space="preserve">MX</t>
  </si>
  <si>
    <t xml:space="preserve">@</t>
  </si>
  <si>
    <t xml:space="preserve">&lt;MX hostname + priority shown in StackCP for this site&gt;</t>
  </si>
  <si>
    <t xml:space="preserve">CONFIRM</t>
  </si>
  <si>
    <t xml:space="preserve">Not published on Cloud Next's public pages. Copy from StackCP &gt; Manage DNS, or ask support.</t>
  </si>
  <si>
    <t xml:space="preserve">TXT (SPF)</t>
  </si>
  <si>
    <t xml:space="preserve">v=spf1 include:spf.stackmail.com a mx -all</t>
  </si>
  <si>
    <t xml:space="preserve">Cloud Next's support article gives spf.stackmail.com as the default include. Confirm it matches what StackCP shows, and keep only ONE SPF record per domain.</t>
  </si>
  <si>
    <t xml:space="preserve">TXT (DKIM)</t>
  </si>
  <si>
    <t xml:space="preserve">&lt;selector&gt;._domainkey</t>
  </si>
  <si>
    <t xml:space="preserve">&lt;key generated in StackCP &gt; Domainkeys (DKIM)&gt;</t>
  </si>
  <si>
    <t xml:space="preserve">Generate in StackCP, then publish the TXT record it gives you.</t>
  </si>
  <si>
    <t xml:space="preserve">TXT (DMARC)</t>
  </si>
  <si>
    <t xml:space="preserve">_dmarc</t>
  </si>
  <si>
    <t xml:space="preserve">Ready</t>
  </si>
  <si>
    <t xml:space="preserve">Start at p=none, review reports for 2-4 weeks, then move to p=quarantine and finally p=reject.</t>
  </si>
  <si>
    <t xml:space="preserve">CNAME (optional)</t>
  </si>
  <si>
    <t xml:space="preserve">autodiscover</t>
  </si>
  <si>
    <t xml:space="preserve">&lt;autodiscover target shown in StackCP&gt;</t>
  </si>
  <si>
    <t xml:space="preserve">Lets Outlook/phones configure themselves. Must be DNS only (grey cloud) in Cloudflare.</t>
  </si>
  <si>
    <t xml:space="preserve">&lt;same MX hostname + priority as above&gt;</t>
  </si>
  <si>
    <t xml:space="preserve">Lets the .llyw.cymru domain receive mail so it can forward to the .gov.wales mailboxes.</t>
  </si>
  <si>
    <t xml:space="preserve">v=spf1 -all</t>
  </si>
  <si>
    <t xml:space="preserve">Only if nobody sends mail FROM this domain (receive-only). If anyone will send as .llyw.cymru, use the same SPF as the primary instead.</t>
  </si>
  <si>
    <t xml:space="preserve">Receive-only domain, so reject spoofed mail outright. Reports go to this domain's own dmarc@ forwarder (listed on the Forwarders sheet) - sending reports to a different domain would need an extra authorisation record.</t>
  </si>
  <si>
    <t xml:space="preserve">Order matters: create these records BEFORE (or at the same moment as) pointing a domain's nameservers at Cloudflare, otherwise mail to that domain can fail while DNS switches over.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</si>
</sst>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4F7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B4F7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4F72"/>
        <bgColor rgb="FF555555"/>
      </patternFill>
    </fill>
    <fill>
      <patternFill patternType="solid">
        <fgColor rgb="FFEDEAE5"/>
        <bgColor rgb="FFFFF2CC"/>
      </patternFill>
    </fill>
    <fill>
      <patternFill patternType="solid">
        <fgColor rgb="FFFFF2CC"/>
        <bgColor rgb="FFEDEA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CFC5"/>
      </left>
      <right style="thin">
        <color rgb="FFD4CFC5"/>
      </right>
      <top style="thin">
        <color rgb="FFD4CFC5"/>
      </top>
      <bottom style="thin">
        <color rgb="FFD4CF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FC5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B4F7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5" t="s">
        <v>12</v>
      </c>
    </row>
    <row r="11" customFormat="false" ht="15" hidden="false" customHeight="false" outlineLevel="0" collapsed="false">
      <c r="A11" s="6" t="s">
        <v>13</v>
      </c>
      <c r="B11" s="7" t="n">
        <f aca="false">COUNTA(Mailboxes!E5:E15)</f>
        <v>11</v>
      </c>
    </row>
    <row r="12" customFormat="false" ht="15" hidden="false" customHeight="false" outlineLevel="0" collapsed="false">
      <c r="A12" s="6" t="s">
        <v>14</v>
      </c>
      <c r="B12" s="7" t="n">
        <f aca="false">COUNTA(Aliases!A5:A18)</f>
        <v>14</v>
      </c>
    </row>
    <row r="13" customFormat="false" ht="15" hidden="false" customHeight="false" outlineLevel="0" collapsed="false">
      <c r="A13" s="6" t="s">
        <v>15</v>
      </c>
      <c r="B13" s="7" t="n">
        <f aca="false">COUNTA('Forwarders (.llyw.cymru)'!A5:A29)</f>
        <v>25</v>
      </c>
    </row>
    <row r="14" customFormat="false" ht="15" hidden="false" customHeight="false" outlineLevel="0" collapsed="false">
      <c r="A14" s="6" t="s">
        <v>16</v>
      </c>
      <c r="B14" s="7" t="n">
        <f aca="false">COUNTIF(Mailboxes!G5:G15,"Yes")</f>
        <v>0</v>
      </c>
    </row>
    <row r="15" customFormat="false" ht="15" hidden="false" customHeight="false" outlineLevel="0" collapsed="false">
      <c r="A15" s="6" t="s">
        <v>17</v>
      </c>
      <c r="B15" s="7" t="n">
        <f aca="false">COUNTIF(Aliases!E5:E18,"Yes")</f>
        <v>0</v>
      </c>
    </row>
    <row r="16" customFormat="false" ht="15" hidden="false" customHeight="false" outlineLevel="0" collapsed="false">
      <c r="A16" s="6" t="s">
        <v>18</v>
      </c>
      <c r="B16" s="7" t="n">
        <f aca="false">COUNTIF('Forwarders (.llyw.cymru)'!E5:E29,"Yes")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6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8" t="s">
        <v>21</v>
      </c>
      <c r="B3" s="9" t="s">
        <v>22</v>
      </c>
    </row>
    <row r="4" customFormat="false" ht="15" hidden="false" customHeight="false" outlineLevel="0" collapsed="false">
      <c r="A4" s="8" t="s">
        <v>23</v>
      </c>
      <c r="B4" s="9" t="s">
        <v>24</v>
      </c>
    </row>
    <row r="6" customFormat="false" ht="15" hidden="false" customHeight="false" outlineLevel="0" collapsed="false">
      <c r="A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0" hidden="false" customHeight="tru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</row>
    <row r="5" customFormat="false" ht="15" hidden="false" customHeight="false" outlineLevel="0" collapsed="false">
      <c r="A5" s="11" t="n">
        <v>1</v>
      </c>
      <c r="B5" s="11" t="s">
        <v>36</v>
      </c>
      <c r="C5" s="11" t="s">
        <v>37</v>
      </c>
      <c r="D5" s="11" t="s">
        <v>38</v>
      </c>
      <c r="E5" s="12" t="s">
        <v>39</v>
      </c>
      <c r="F5" s="11" t="str">
        <f aca="false">E5&amp;"@"&amp;Settings!$B$3</f>
        <v>tammi.owen@llansannan-cc.gov.wales</v>
      </c>
      <c r="G5" s="12"/>
      <c r="H5" s="4"/>
    </row>
    <row r="6" customFormat="false" ht="15" hidden="false" customHeight="false" outlineLevel="0" collapsed="false">
      <c r="A6" s="13" t="n">
        <v>2</v>
      </c>
      <c r="B6" s="13" t="s">
        <v>40</v>
      </c>
      <c r="C6" s="13" t="s">
        <v>41</v>
      </c>
      <c r="D6" s="13" t="s">
        <v>38</v>
      </c>
      <c r="E6" s="14" t="s">
        <v>42</v>
      </c>
      <c r="F6" s="13" t="str">
        <f aca="false">E6&amp;"@"&amp;Settings!$B$3</f>
        <v>bethan.jones@llansannan-cc.gov.wales</v>
      </c>
      <c r="G6" s="14"/>
      <c r="H6" s="15" t="s">
        <v>43</v>
      </c>
    </row>
    <row r="7" customFormat="false" ht="15" hidden="false" customHeight="false" outlineLevel="0" collapsed="false">
      <c r="A7" s="11" t="n">
        <v>3</v>
      </c>
      <c r="B7" s="11" t="s">
        <v>44</v>
      </c>
      <c r="C7" s="11" t="s">
        <v>41</v>
      </c>
      <c r="D7" s="11" t="s">
        <v>38</v>
      </c>
      <c r="E7" s="12" t="s">
        <v>45</v>
      </c>
      <c r="F7" s="11" t="str">
        <f aca="false">E7&amp;"@"&amp;Settings!$B$3</f>
        <v>bethan.evans@llansannan-cc.gov.wales</v>
      </c>
      <c r="G7" s="12"/>
      <c r="H7" s="4" t="s">
        <v>46</v>
      </c>
    </row>
    <row r="8" customFormat="false" ht="15" hidden="false" customHeight="false" outlineLevel="0" collapsed="false">
      <c r="A8" s="13" t="n">
        <v>4</v>
      </c>
      <c r="B8" s="13" t="s">
        <v>47</v>
      </c>
      <c r="C8" s="13" t="s">
        <v>41</v>
      </c>
      <c r="D8" s="13" t="s">
        <v>38</v>
      </c>
      <c r="E8" s="14" t="s">
        <v>48</v>
      </c>
      <c r="F8" s="13" t="str">
        <f aca="false">E8&amp;"@"&amp;Settings!$B$3</f>
        <v>eifion.jones@llansannan-cc.gov.wales</v>
      </c>
      <c r="G8" s="14"/>
      <c r="H8" s="15" t="s">
        <v>46</v>
      </c>
    </row>
    <row r="9" customFormat="false" ht="15" hidden="false" customHeight="false" outlineLevel="0" collapsed="false">
      <c r="A9" s="11" t="n">
        <v>5</v>
      </c>
      <c r="B9" s="11" t="s">
        <v>49</v>
      </c>
      <c r="C9" s="11" t="s">
        <v>41</v>
      </c>
      <c r="D9" s="11" t="s">
        <v>38</v>
      </c>
      <c r="E9" s="12" t="s">
        <v>50</v>
      </c>
      <c r="F9" s="11" t="str">
        <f aca="false">E9&amp;"@"&amp;Settings!$B$3</f>
        <v>meurig.davies@llansannan-cc.gov.wales</v>
      </c>
      <c r="G9" s="12"/>
      <c r="H9" s="4"/>
    </row>
    <row r="10" customFormat="false" ht="23.85" hidden="false" customHeight="false" outlineLevel="0" collapsed="false">
      <c r="A10" s="13" t="n">
        <v>6</v>
      </c>
      <c r="B10" s="13" t="s">
        <v>51</v>
      </c>
      <c r="C10" s="13" t="s">
        <v>41</v>
      </c>
      <c r="D10" s="13" t="s">
        <v>38</v>
      </c>
      <c r="E10" s="14" t="s">
        <v>52</v>
      </c>
      <c r="F10" s="13" t="str">
        <f aca="false">E10&amp;"@"&amp;Settings!$B$3</f>
        <v>susan.van-look@llansannan-cc.gov.wales</v>
      </c>
      <c r="G10" s="14"/>
      <c r="H10" s="15" t="s">
        <v>53</v>
      </c>
    </row>
    <row r="11" customFormat="false" ht="15" hidden="false" customHeight="false" outlineLevel="0" collapsed="false">
      <c r="A11" s="11" t="n">
        <v>7</v>
      </c>
      <c r="B11" s="11" t="s">
        <v>54</v>
      </c>
      <c r="C11" s="11" t="s">
        <v>41</v>
      </c>
      <c r="D11" s="11" t="s">
        <v>38</v>
      </c>
      <c r="E11" s="12" t="s">
        <v>55</v>
      </c>
      <c r="F11" s="11" t="str">
        <f aca="false">E11&amp;"@"&amp;Settings!$B$3</f>
        <v>trefor.roberts@llansannan-cc.gov.wales</v>
      </c>
      <c r="G11" s="12"/>
      <c r="H11" s="4"/>
    </row>
    <row r="12" customFormat="false" ht="15" hidden="false" customHeight="false" outlineLevel="0" collapsed="false">
      <c r="A12" s="13" t="n">
        <v>8</v>
      </c>
      <c r="B12" s="13" t="s">
        <v>56</v>
      </c>
      <c r="C12" s="13" t="s">
        <v>41</v>
      </c>
      <c r="D12" s="13" t="s">
        <v>57</v>
      </c>
      <c r="E12" s="14" t="s">
        <v>58</v>
      </c>
      <c r="F12" s="13" t="str">
        <f aca="false">E12&amp;"@"&amp;Settings!$B$3</f>
        <v>david.morris@llansannan-cc.gov.wales</v>
      </c>
      <c r="G12" s="14"/>
      <c r="H12" s="15"/>
    </row>
    <row r="13" customFormat="false" ht="15" hidden="false" customHeight="false" outlineLevel="0" collapsed="false">
      <c r="A13" s="11" t="n">
        <v>9</v>
      </c>
      <c r="B13" s="11" t="s">
        <v>59</v>
      </c>
      <c r="C13" s="11" t="s">
        <v>41</v>
      </c>
      <c r="D13" s="11" t="s">
        <v>57</v>
      </c>
      <c r="E13" s="12" t="s">
        <v>60</v>
      </c>
      <c r="F13" s="11" t="str">
        <f aca="false">E13&amp;"@"&amp;Settings!$B$3</f>
        <v>elwyn.jones@llansannan-cc.gov.wales</v>
      </c>
      <c r="G13" s="12"/>
      <c r="H13" s="4"/>
    </row>
    <row r="14" customFormat="false" ht="15" hidden="false" customHeight="false" outlineLevel="0" collapsed="false">
      <c r="A14" s="13" t="n">
        <v>10</v>
      </c>
      <c r="B14" s="13" t="s">
        <v>61</v>
      </c>
      <c r="C14" s="13" t="s">
        <v>41</v>
      </c>
      <c r="D14" s="13" t="s">
        <v>57</v>
      </c>
      <c r="E14" s="14" t="s">
        <v>62</v>
      </c>
      <c r="F14" s="13" t="str">
        <f aca="false">E14&amp;"@"&amp;Settings!$B$3</f>
        <v>ffion.edwards@llansannan-cc.gov.wales</v>
      </c>
      <c r="G14" s="14"/>
      <c r="H14" s="15" t="s">
        <v>63</v>
      </c>
    </row>
    <row r="15" customFormat="false" ht="23.85" hidden="false" customHeight="false" outlineLevel="0" collapsed="false">
      <c r="A15" s="11" t="n">
        <v>11</v>
      </c>
      <c r="B15" s="11" t="s">
        <v>64</v>
      </c>
      <c r="C15" s="11" t="s">
        <v>65</v>
      </c>
      <c r="D15" s="11" t="s">
        <v>66</v>
      </c>
      <c r="E15" s="12" t="s">
        <v>67</v>
      </c>
      <c r="F15" s="11" t="str">
        <f aca="false">E15&amp;"@"&amp;Settings!$B$3</f>
        <v>delyth.williams@llansannan-cc.gov.wales</v>
      </c>
      <c r="G15" s="12"/>
      <c r="H15" s="4" t="s">
        <v>68</v>
      </c>
    </row>
  </sheetData>
  <dataValidations count="1">
    <dataValidation allowBlank="true" errorStyle="stop" operator="between" showDropDown="false" showErrorMessage="false" showInputMessage="false" sqref="G5:G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0"/>
    <col collapsed="false" customWidth="true" hidden="false" outlineLevel="0" max="4" min="4" style="0" width="6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10" t="s">
        <v>71</v>
      </c>
      <c r="B4" s="10" t="s">
        <v>72</v>
      </c>
      <c r="C4" s="10" t="s">
        <v>73</v>
      </c>
      <c r="D4" s="10" t="s">
        <v>74</v>
      </c>
      <c r="E4" s="10" t="s">
        <v>34</v>
      </c>
    </row>
    <row r="5" customFormat="false" ht="15" hidden="false" customHeight="false" outlineLevel="0" collapsed="false">
      <c r="A5" s="11" t="str">
        <f aca="false">"cllr."&amp;Mailboxes!E5</f>
        <v>cllr.tammi.owen</v>
      </c>
      <c r="B5" s="11" t="str">
        <f aca="false">A5&amp;"@"&amp;Settings!$B$3</f>
        <v>cllr.tammi.owen@llansannan-cc.gov.wales</v>
      </c>
      <c r="C5" s="11" t="str">
        <f aca="false">Mailboxes!F5</f>
        <v>tammi.owen@llansannan-cc.gov.wales</v>
      </c>
      <c r="D5" s="4" t="s">
        <v>75</v>
      </c>
      <c r="E5" s="12"/>
    </row>
    <row r="6" customFormat="false" ht="15" hidden="false" customHeight="false" outlineLevel="0" collapsed="false">
      <c r="A6" s="13" t="str">
        <f aca="false">"cllr."&amp;Mailboxes!E6</f>
        <v>cllr.bethan.jones</v>
      </c>
      <c r="B6" s="13" t="str">
        <f aca="false">A6&amp;"@"&amp;Settings!$B$3</f>
        <v>cllr.bethan.jones@llansannan-cc.gov.wales</v>
      </c>
      <c r="C6" s="13" t="str">
        <f aca="false">Mailboxes!F6</f>
        <v>bethan.jones@llansannan-cc.gov.wales</v>
      </c>
      <c r="D6" s="15" t="s">
        <v>75</v>
      </c>
      <c r="E6" s="14"/>
    </row>
    <row r="7" customFormat="false" ht="15" hidden="false" customHeight="false" outlineLevel="0" collapsed="false">
      <c r="A7" s="11" t="str">
        <f aca="false">"cllr."&amp;Mailboxes!E7</f>
        <v>cllr.bethan.evans</v>
      </c>
      <c r="B7" s="11" t="str">
        <f aca="false">A7&amp;"@"&amp;Settings!$B$3</f>
        <v>cllr.bethan.evans@llansannan-cc.gov.wales</v>
      </c>
      <c r="C7" s="11" t="str">
        <f aca="false">Mailboxes!F7</f>
        <v>bethan.evans@llansannan-cc.gov.wales</v>
      </c>
      <c r="D7" s="4" t="s">
        <v>75</v>
      </c>
      <c r="E7" s="12"/>
    </row>
    <row r="8" customFormat="false" ht="15" hidden="false" customHeight="false" outlineLevel="0" collapsed="false">
      <c r="A8" s="13" t="str">
        <f aca="false">"cllr."&amp;Mailboxes!E8</f>
        <v>cllr.eifion.jones</v>
      </c>
      <c r="B8" s="13" t="str">
        <f aca="false">A8&amp;"@"&amp;Settings!$B$3</f>
        <v>cllr.eifion.jones@llansannan-cc.gov.wales</v>
      </c>
      <c r="C8" s="13" t="str">
        <f aca="false">Mailboxes!F8</f>
        <v>eifion.jones@llansannan-cc.gov.wales</v>
      </c>
      <c r="D8" s="15" t="s">
        <v>75</v>
      </c>
      <c r="E8" s="14"/>
    </row>
    <row r="9" customFormat="false" ht="15" hidden="false" customHeight="false" outlineLevel="0" collapsed="false">
      <c r="A9" s="11" t="str">
        <f aca="false">"cllr."&amp;Mailboxes!E9</f>
        <v>cllr.meurig.davies</v>
      </c>
      <c r="B9" s="11" t="str">
        <f aca="false">A9&amp;"@"&amp;Settings!$B$3</f>
        <v>cllr.meurig.davies@llansannan-cc.gov.wales</v>
      </c>
      <c r="C9" s="11" t="str">
        <f aca="false">Mailboxes!F9</f>
        <v>meurig.davies@llansannan-cc.gov.wales</v>
      </c>
      <c r="D9" s="4" t="s">
        <v>75</v>
      </c>
      <c r="E9" s="12"/>
    </row>
    <row r="10" customFormat="false" ht="15" hidden="false" customHeight="false" outlineLevel="0" collapsed="false">
      <c r="A10" s="13" t="str">
        <f aca="false">"cllr."&amp;Mailboxes!E10</f>
        <v>cllr.susan.van-look</v>
      </c>
      <c r="B10" s="13" t="str">
        <f aca="false">A10&amp;"@"&amp;Settings!$B$3</f>
        <v>cllr.susan.van-look@llansannan-cc.gov.wales</v>
      </c>
      <c r="C10" s="13" t="str">
        <f aca="false">Mailboxes!F10</f>
        <v>susan.van-look@llansannan-cc.gov.wales</v>
      </c>
      <c r="D10" s="15" t="s">
        <v>75</v>
      </c>
      <c r="E10" s="14"/>
    </row>
    <row r="11" customFormat="false" ht="15" hidden="false" customHeight="false" outlineLevel="0" collapsed="false">
      <c r="A11" s="11" t="str">
        <f aca="false">"cllr."&amp;Mailboxes!E11</f>
        <v>cllr.trefor.roberts</v>
      </c>
      <c r="B11" s="11" t="str">
        <f aca="false">A11&amp;"@"&amp;Settings!$B$3</f>
        <v>cllr.trefor.roberts@llansannan-cc.gov.wales</v>
      </c>
      <c r="C11" s="11" t="str">
        <f aca="false">Mailboxes!F11</f>
        <v>trefor.roberts@llansannan-cc.gov.wales</v>
      </c>
      <c r="D11" s="4" t="s">
        <v>75</v>
      </c>
      <c r="E11" s="12"/>
    </row>
    <row r="12" customFormat="false" ht="15" hidden="false" customHeight="false" outlineLevel="0" collapsed="false">
      <c r="A12" s="13" t="str">
        <f aca="false">"cllr."&amp;Mailboxes!E12</f>
        <v>cllr.david.morris</v>
      </c>
      <c r="B12" s="13" t="str">
        <f aca="false">A12&amp;"@"&amp;Settings!$B$3</f>
        <v>cllr.david.morris@llansannan-cc.gov.wales</v>
      </c>
      <c r="C12" s="13" t="str">
        <f aca="false">Mailboxes!F12</f>
        <v>david.morris@llansannan-cc.gov.wales</v>
      </c>
      <c r="D12" s="15" t="s">
        <v>75</v>
      </c>
      <c r="E12" s="14"/>
    </row>
    <row r="13" customFormat="false" ht="15" hidden="false" customHeight="false" outlineLevel="0" collapsed="false">
      <c r="A13" s="11" t="str">
        <f aca="false">"cllr."&amp;Mailboxes!E13</f>
        <v>cllr.elwyn.jones</v>
      </c>
      <c r="B13" s="11" t="str">
        <f aca="false">A13&amp;"@"&amp;Settings!$B$3</f>
        <v>cllr.elwyn.jones@llansannan-cc.gov.wales</v>
      </c>
      <c r="C13" s="11" t="str">
        <f aca="false">Mailboxes!F13</f>
        <v>elwyn.jones@llansannan-cc.gov.wales</v>
      </c>
      <c r="D13" s="4" t="s">
        <v>75</v>
      </c>
      <c r="E13" s="12"/>
    </row>
    <row r="14" customFormat="false" ht="15" hidden="false" customHeight="false" outlineLevel="0" collapsed="false">
      <c r="A14" s="13" t="str">
        <f aca="false">"cllr."&amp;Mailboxes!E14</f>
        <v>cllr.ffion.edwards</v>
      </c>
      <c r="B14" s="13" t="str">
        <f aca="false">A14&amp;"@"&amp;Settings!$B$3</f>
        <v>cllr.ffion.edwards@llansannan-cc.gov.wales</v>
      </c>
      <c r="C14" s="13" t="str">
        <f aca="false">Mailboxes!F14</f>
        <v>ffion.edwards@llansannan-cc.gov.wales</v>
      </c>
      <c r="D14" s="15" t="s">
        <v>75</v>
      </c>
      <c r="E14" s="14"/>
    </row>
    <row r="15" customFormat="false" ht="15" hidden="false" customHeight="false" outlineLevel="0" collapsed="false">
      <c r="A15" s="12" t="s">
        <v>76</v>
      </c>
      <c r="B15" s="11" t="str">
        <f aca="false">A15&amp;"@"&amp;Settings!$B$3</f>
        <v>clerk@llansannan-cc.gov.wales</v>
      </c>
      <c r="C15" s="11" t="str">
        <f aca="false">Mailboxes!F15</f>
        <v>delyth.williams@llansannan-cc.gov.wales</v>
      </c>
      <c r="D15" s="4" t="s">
        <v>77</v>
      </c>
      <c r="E15" s="12"/>
    </row>
    <row r="16" customFormat="false" ht="15" hidden="false" customHeight="false" outlineLevel="0" collapsed="false">
      <c r="A16" s="14" t="s">
        <v>78</v>
      </c>
      <c r="B16" s="13" t="str">
        <f aca="false">A16&amp;"@"&amp;Settings!$B$3</f>
        <v>chair@llansannan-cc.gov.wales</v>
      </c>
      <c r="C16" s="13" t="str">
        <f aca="false">Mailboxes!F5</f>
        <v>tammi.owen@llansannan-cc.gov.wales</v>
      </c>
      <c r="D16" s="15" t="s">
        <v>77</v>
      </c>
      <c r="E16" s="14"/>
    </row>
    <row r="17" customFormat="false" ht="23.85" hidden="false" customHeight="false" outlineLevel="0" collapsed="false">
      <c r="A17" s="12" t="s">
        <v>79</v>
      </c>
      <c r="B17" s="11" t="str">
        <f aca="false">A17&amp;"@"&amp;Settings!$B$3</f>
        <v>info@llansannan-cc.gov.wales</v>
      </c>
      <c r="C17" s="11" t="str">
        <f aca="false">Mailboxes!F15</f>
        <v>delyth.williams@llansannan-cc.gov.wales</v>
      </c>
      <c r="D17" s="4" t="s">
        <v>80</v>
      </c>
      <c r="E17" s="12"/>
    </row>
    <row r="18" customFormat="false" ht="15" hidden="false" customHeight="false" outlineLevel="0" collapsed="false">
      <c r="A18" s="14" t="s">
        <v>81</v>
      </c>
      <c r="B18" s="13" t="str">
        <f aca="false">A18&amp;"@"&amp;Settings!$B$3</f>
        <v>dmarc@llansannan-cc.gov.wales</v>
      </c>
      <c r="C18" s="13" t="str">
        <f aca="false">Mailboxes!F15</f>
        <v>delyth.williams@llansannan-cc.gov.wales</v>
      </c>
      <c r="D18" s="15" t="s">
        <v>82</v>
      </c>
      <c r="E18" s="14"/>
    </row>
  </sheetData>
  <dataValidations count="1">
    <dataValidation allowBlank="true" errorStyle="stop" operator="between" showDropDown="false" showErrorMessage="false" showInputMessage="false" sqref="E5:E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0" hidden="false" customHeight="true" outlineLevel="0" collapsed="false">
      <c r="A4" s="10" t="s">
        <v>85</v>
      </c>
      <c r="B4" s="10" t="s">
        <v>86</v>
      </c>
      <c r="C4" s="10" t="s">
        <v>87</v>
      </c>
      <c r="D4" s="10" t="s">
        <v>88</v>
      </c>
      <c r="E4" s="10" t="s">
        <v>34</v>
      </c>
    </row>
    <row r="5" customFormat="false" ht="15" hidden="false" customHeight="false" outlineLevel="0" collapsed="false">
      <c r="A5" s="11" t="str">
        <f aca="false">Mailboxes!E5</f>
        <v>tammi.owen</v>
      </c>
      <c r="B5" s="11" t="str">
        <f aca="false">A5&amp;"@"&amp;Settings!$B$4</f>
        <v>tammi.owen@llansannan-cc.llyw.cymru</v>
      </c>
      <c r="C5" s="11" t="str">
        <f aca="false">Mailboxes!F5</f>
        <v>tammi.owen@llansannan-cc.gov.wales</v>
      </c>
      <c r="D5" s="11" t="s">
        <v>89</v>
      </c>
      <c r="E5" s="12"/>
    </row>
    <row r="6" customFormat="false" ht="15" hidden="false" customHeight="false" outlineLevel="0" collapsed="false">
      <c r="A6" s="13" t="str">
        <f aca="false">Mailboxes!E6</f>
        <v>bethan.jones</v>
      </c>
      <c r="B6" s="13" t="str">
        <f aca="false">A6&amp;"@"&amp;Settings!$B$4</f>
        <v>bethan.jones@llansannan-cc.llyw.cymru</v>
      </c>
      <c r="C6" s="13" t="str">
        <f aca="false">Mailboxes!F6</f>
        <v>bethan.jones@llansannan-cc.gov.wales</v>
      </c>
      <c r="D6" s="13" t="s">
        <v>89</v>
      </c>
      <c r="E6" s="14"/>
    </row>
    <row r="7" customFormat="false" ht="15" hidden="false" customHeight="false" outlineLevel="0" collapsed="false">
      <c r="A7" s="11" t="str">
        <f aca="false">Mailboxes!E7</f>
        <v>bethan.evans</v>
      </c>
      <c r="B7" s="11" t="str">
        <f aca="false">A7&amp;"@"&amp;Settings!$B$4</f>
        <v>bethan.evans@llansannan-cc.llyw.cymru</v>
      </c>
      <c r="C7" s="11" t="str">
        <f aca="false">Mailboxes!F7</f>
        <v>bethan.evans@llansannan-cc.gov.wales</v>
      </c>
      <c r="D7" s="11" t="s">
        <v>89</v>
      </c>
      <c r="E7" s="12"/>
    </row>
    <row r="8" customFormat="false" ht="15" hidden="false" customHeight="false" outlineLevel="0" collapsed="false">
      <c r="A8" s="13" t="str">
        <f aca="false">Mailboxes!E8</f>
        <v>eifion.jones</v>
      </c>
      <c r="B8" s="13" t="str">
        <f aca="false">A8&amp;"@"&amp;Settings!$B$4</f>
        <v>eifion.jones@llansannan-cc.llyw.cymru</v>
      </c>
      <c r="C8" s="13" t="str">
        <f aca="false">Mailboxes!F8</f>
        <v>eifion.jones@llansannan-cc.gov.wales</v>
      </c>
      <c r="D8" s="13" t="s">
        <v>89</v>
      </c>
      <c r="E8" s="14"/>
    </row>
    <row r="9" customFormat="false" ht="15" hidden="false" customHeight="false" outlineLevel="0" collapsed="false">
      <c r="A9" s="11" t="str">
        <f aca="false">Mailboxes!E9</f>
        <v>meurig.davies</v>
      </c>
      <c r="B9" s="11" t="str">
        <f aca="false">A9&amp;"@"&amp;Settings!$B$4</f>
        <v>meurig.davies@llansannan-cc.llyw.cymru</v>
      </c>
      <c r="C9" s="11" t="str">
        <f aca="false">Mailboxes!F9</f>
        <v>meurig.davies@llansannan-cc.gov.wales</v>
      </c>
      <c r="D9" s="11" t="s">
        <v>89</v>
      </c>
      <c r="E9" s="12"/>
    </row>
    <row r="10" customFormat="false" ht="15" hidden="false" customHeight="false" outlineLevel="0" collapsed="false">
      <c r="A10" s="13" t="str">
        <f aca="false">Mailboxes!E10</f>
        <v>susan.van-look</v>
      </c>
      <c r="B10" s="13" t="str">
        <f aca="false">A10&amp;"@"&amp;Settings!$B$4</f>
        <v>susan.van-look@llansannan-cc.llyw.cymru</v>
      </c>
      <c r="C10" s="13" t="str">
        <f aca="false">Mailboxes!F10</f>
        <v>susan.van-look@llansannan-cc.gov.wales</v>
      </c>
      <c r="D10" s="13" t="s">
        <v>89</v>
      </c>
      <c r="E10" s="14"/>
    </row>
    <row r="11" customFormat="false" ht="15" hidden="false" customHeight="false" outlineLevel="0" collapsed="false">
      <c r="A11" s="11" t="str">
        <f aca="false">Mailboxes!E11</f>
        <v>trefor.roberts</v>
      </c>
      <c r="B11" s="11" t="str">
        <f aca="false">A11&amp;"@"&amp;Settings!$B$4</f>
        <v>trefor.roberts@llansannan-cc.llyw.cymru</v>
      </c>
      <c r="C11" s="11" t="str">
        <f aca="false">Mailboxes!F11</f>
        <v>trefor.roberts@llansannan-cc.gov.wales</v>
      </c>
      <c r="D11" s="11" t="s">
        <v>89</v>
      </c>
      <c r="E11" s="12"/>
    </row>
    <row r="12" customFormat="false" ht="15" hidden="false" customHeight="false" outlineLevel="0" collapsed="false">
      <c r="A12" s="13" t="str">
        <f aca="false">Mailboxes!E12</f>
        <v>david.morris</v>
      </c>
      <c r="B12" s="13" t="str">
        <f aca="false">A12&amp;"@"&amp;Settings!$B$4</f>
        <v>david.morris@llansannan-cc.llyw.cymru</v>
      </c>
      <c r="C12" s="13" t="str">
        <f aca="false">Mailboxes!F12</f>
        <v>david.morris@llansannan-cc.gov.wales</v>
      </c>
      <c r="D12" s="13" t="s">
        <v>89</v>
      </c>
      <c r="E12" s="14"/>
    </row>
    <row r="13" customFormat="false" ht="15" hidden="false" customHeight="false" outlineLevel="0" collapsed="false">
      <c r="A13" s="11" t="str">
        <f aca="false">Mailboxes!E13</f>
        <v>elwyn.jones</v>
      </c>
      <c r="B13" s="11" t="str">
        <f aca="false">A13&amp;"@"&amp;Settings!$B$4</f>
        <v>elwyn.jones@llansannan-cc.llyw.cymru</v>
      </c>
      <c r="C13" s="11" t="str">
        <f aca="false">Mailboxes!F13</f>
        <v>elwyn.jones@llansannan-cc.gov.wales</v>
      </c>
      <c r="D13" s="11" t="s">
        <v>89</v>
      </c>
      <c r="E13" s="12"/>
    </row>
    <row r="14" customFormat="false" ht="15" hidden="false" customHeight="false" outlineLevel="0" collapsed="false">
      <c r="A14" s="13" t="str">
        <f aca="false">Mailboxes!E14</f>
        <v>ffion.edwards</v>
      </c>
      <c r="B14" s="13" t="str">
        <f aca="false">A14&amp;"@"&amp;Settings!$B$4</f>
        <v>ffion.edwards@llansannan-cc.llyw.cymru</v>
      </c>
      <c r="C14" s="13" t="str">
        <f aca="false">Mailboxes!F14</f>
        <v>ffion.edwards@llansannan-cc.gov.wales</v>
      </c>
      <c r="D14" s="13" t="s">
        <v>89</v>
      </c>
      <c r="E14" s="14"/>
    </row>
    <row r="15" customFormat="false" ht="15" hidden="false" customHeight="false" outlineLevel="0" collapsed="false">
      <c r="A15" s="11" t="str">
        <f aca="false">Mailboxes!E15</f>
        <v>delyth.williams</v>
      </c>
      <c r="B15" s="11" t="str">
        <f aca="false">A15&amp;"@"&amp;Settings!$B$4</f>
        <v>delyth.williams@llansannan-cc.llyw.cymru</v>
      </c>
      <c r="C15" s="11" t="str">
        <f aca="false">Mailboxes!F15</f>
        <v>delyth.williams@llansannan-cc.gov.wales</v>
      </c>
      <c r="D15" s="11" t="s">
        <v>89</v>
      </c>
      <c r="E15" s="12"/>
    </row>
    <row r="16" customFormat="false" ht="15" hidden="false" customHeight="false" outlineLevel="0" collapsed="false">
      <c r="A16" s="13" t="str">
        <f aca="false">Aliases!A5</f>
        <v>cllr.tammi.owen</v>
      </c>
      <c r="B16" s="13" t="str">
        <f aca="false">A16&amp;"@"&amp;Settings!$B$4</f>
        <v>cllr.tammi.owen@llansannan-cc.llyw.cymru</v>
      </c>
      <c r="C16" s="13" t="str">
        <f aca="false">Aliases!C5</f>
        <v>tammi.owen@llansannan-cc.gov.wales</v>
      </c>
      <c r="D16" s="13" t="s">
        <v>75</v>
      </c>
      <c r="E16" s="14"/>
    </row>
    <row r="17" customFormat="false" ht="15" hidden="false" customHeight="false" outlineLevel="0" collapsed="false">
      <c r="A17" s="11" t="str">
        <f aca="false">Aliases!A6</f>
        <v>cllr.bethan.jones</v>
      </c>
      <c r="B17" s="11" t="str">
        <f aca="false">A17&amp;"@"&amp;Settings!$B$4</f>
        <v>cllr.bethan.jones@llansannan-cc.llyw.cymru</v>
      </c>
      <c r="C17" s="11" t="str">
        <f aca="false">Aliases!C6</f>
        <v>bethan.jones@llansannan-cc.gov.wales</v>
      </c>
      <c r="D17" s="11" t="s">
        <v>75</v>
      </c>
      <c r="E17" s="12"/>
    </row>
    <row r="18" customFormat="false" ht="15" hidden="false" customHeight="false" outlineLevel="0" collapsed="false">
      <c r="A18" s="13" t="str">
        <f aca="false">Aliases!A7</f>
        <v>cllr.bethan.evans</v>
      </c>
      <c r="B18" s="13" t="str">
        <f aca="false">A18&amp;"@"&amp;Settings!$B$4</f>
        <v>cllr.bethan.evans@llansannan-cc.llyw.cymru</v>
      </c>
      <c r="C18" s="13" t="str">
        <f aca="false">Aliases!C7</f>
        <v>bethan.evans@llansannan-cc.gov.wales</v>
      </c>
      <c r="D18" s="13" t="s">
        <v>75</v>
      </c>
      <c r="E18" s="14"/>
    </row>
    <row r="19" customFormat="false" ht="15" hidden="false" customHeight="false" outlineLevel="0" collapsed="false">
      <c r="A19" s="11" t="str">
        <f aca="false">Aliases!A8</f>
        <v>cllr.eifion.jones</v>
      </c>
      <c r="B19" s="11" t="str">
        <f aca="false">A19&amp;"@"&amp;Settings!$B$4</f>
        <v>cllr.eifion.jones@llansannan-cc.llyw.cymru</v>
      </c>
      <c r="C19" s="11" t="str">
        <f aca="false">Aliases!C8</f>
        <v>eifion.jones@llansannan-cc.gov.wales</v>
      </c>
      <c r="D19" s="11" t="s">
        <v>75</v>
      </c>
      <c r="E19" s="12"/>
    </row>
    <row r="20" customFormat="false" ht="15" hidden="false" customHeight="false" outlineLevel="0" collapsed="false">
      <c r="A20" s="13" t="str">
        <f aca="false">Aliases!A9</f>
        <v>cllr.meurig.davies</v>
      </c>
      <c r="B20" s="13" t="str">
        <f aca="false">A20&amp;"@"&amp;Settings!$B$4</f>
        <v>cllr.meurig.davies@llansannan-cc.llyw.cymru</v>
      </c>
      <c r="C20" s="13" t="str">
        <f aca="false">Aliases!C9</f>
        <v>meurig.davies@llansannan-cc.gov.wales</v>
      </c>
      <c r="D20" s="13" t="s">
        <v>75</v>
      </c>
      <c r="E20" s="14"/>
    </row>
    <row r="21" customFormat="false" ht="15" hidden="false" customHeight="false" outlineLevel="0" collapsed="false">
      <c r="A21" s="11" t="str">
        <f aca="false">Aliases!A10</f>
        <v>cllr.susan.van-look</v>
      </c>
      <c r="B21" s="11" t="str">
        <f aca="false">A21&amp;"@"&amp;Settings!$B$4</f>
        <v>cllr.susan.van-look@llansannan-cc.llyw.cymru</v>
      </c>
      <c r="C21" s="11" t="str">
        <f aca="false">Aliases!C10</f>
        <v>susan.van-look@llansannan-cc.gov.wales</v>
      </c>
      <c r="D21" s="11" t="s">
        <v>75</v>
      </c>
      <c r="E21" s="12"/>
    </row>
    <row r="22" customFormat="false" ht="15" hidden="false" customHeight="false" outlineLevel="0" collapsed="false">
      <c r="A22" s="13" t="str">
        <f aca="false">Aliases!A11</f>
        <v>cllr.trefor.roberts</v>
      </c>
      <c r="B22" s="13" t="str">
        <f aca="false">A22&amp;"@"&amp;Settings!$B$4</f>
        <v>cllr.trefor.roberts@llansannan-cc.llyw.cymru</v>
      </c>
      <c r="C22" s="13" t="str">
        <f aca="false">Aliases!C11</f>
        <v>trefor.roberts@llansannan-cc.gov.wales</v>
      </c>
      <c r="D22" s="13" t="s">
        <v>75</v>
      </c>
      <c r="E22" s="14"/>
    </row>
    <row r="23" customFormat="false" ht="15" hidden="false" customHeight="false" outlineLevel="0" collapsed="false">
      <c r="A23" s="11" t="str">
        <f aca="false">Aliases!A12</f>
        <v>cllr.david.morris</v>
      </c>
      <c r="B23" s="11" t="str">
        <f aca="false">A23&amp;"@"&amp;Settings!$B$4</f>
        <v>cllr.david.morris@llansannan-cc.llyw.cymru</v>
      </c>
      <c r="C23" s="11" t="str">
        <f aca="false">Aliases!C12</f>
        <v>david.morris@llansannan-cc.gov.wales</v>
      </c>
      <c r="D23" s="11" t="s">
        <v>75</v>
      </c>
      <c r="E23" s="12"/>
    </row>
    <row r="24" customFormat="false" ht="15" hidden="false" customHeight="false" outlineLevel="0" collapsed="false">
      <c r="A24" s="13" t="str">
        <f aca="false">Aliases!A13</f>
        <v>cllr.elwyn.jones</v>
      </c>
      <c r="B24" s="13" t="str">
        <f aca="false">A24&amp;"@"&amp;Settings!$B$4</f>
        <v>cllr.elwyn.jones@llansannan-cc.llyw.cymru</v>
      </c>
      <c r="C24" s="13" t="str">
        <f aca="false">Aliases!C13</f>
        <v>elwyn.jones@llansannan-cc.gov.wales</v>
      </c>
      <c r="D24" s="13" t="s">
        <v>75</v>
      </c>
      <c r="E24" s="14"/>
    </row>
    <row r="25" customFormat="false" ht="15" hidden="false" customHeight="false" outlineLevel="0" collapsed="false">
      <c r="A25" s="11" t="str">
        <f aca="false">Aliases!A14</f>
        <v>cllr.ffion.edwards</v>
      </c>
      <c r="B25" s="11" t="str">
        <f aca="false">A25&amp;"@"&amp;Settings!$B$4</f>
        <v>cllr.ffion.edwards@llansannan-cc.llyw.cymru</v>
      </c>
      <c r="C25" s="11" t="str">
        <f aca="false">Aliases!C14</f>
        <v>ffion.edwards@llansannan-cc.gov.wales</v>
      </c>
      <c r="D25" s="11" t="s">
        <v>75</v>
      </c>
      <c r="E25" s="12"/>
    </row>
    <row r="26" customFormat="false" ht="15" hidden="false" customHeight="false" outlineLevel="0" collapsed="false">
      <c r="A26" s="13" t="str">
        <f aca="false">Aliases!A15</f>
        <v>clerk</v>
      </c>
      <c r="B26" s="13" t="str">
        <f aca="false">A26&amp;"@"&amp;Settings!$B$4</f>
        <v>clerk@llansannan-cc.llyw.cymru</v>
      </c>
      <c r="C26" s="13" t="str">
        <f aca="false">Aliases!C15</f>
        <v>delyth.williams@llansannan-cc.gov.wales</v>
      </c>
      <c r="D26" s="13" t="s">
        <v>90</v>
      </c>
      <c r="E26" s="14"/>
    </row>
    <row r="27" customFormat="false" ht="15" hidden="false" customHeight="false" outlineLevel="0" collapsed="false">
      <c r="A27" s="11" t="str">
        <f aca="false">Aliases!A16</f>
        <v>chair</v>
      </c>
      <c r="B27" s="11" t="str">
        <f aca="false">A27&amp;"@"&amp;Settings!$B$4</f>
        <v>chair@llansannan-cc.llyw.cymru</v>
      </c>
      <c r="C27" s="11" t="str">
        <f aca="false">Aliases!C16</f>
        <v>tammi.owen@llansannan-cc.gov.wales</v>
      </c>
      <c r="D27" s="11" t="s">
        <v>90</v>
      </c>
      <c r="E27" s="12"/>
    </row>
    <row r="28" customFormat="false" ht="15" hidden="false" customHeight="false" outlineLevel="0" collapsed="false">
      <c r="A28" s="13" t="str">
        <f aca="false">Aliases!A17</f>
        <v>info</v>
      </c>
      <c r="B28" s="13" t="str">
        <f aca="false">A28&amp;"@"&amp;Settings!$B$4</f>
        <v>info@llansannan-cc.llyw.cymru</v>
      </c>
      <c r="C28" s="13" t="str">
        <f aca="false">Aliases!C17</f>
        <v>delyth.williams@llansannan-cc.gov.wales</v>
      </c>
      <c r="D28" s="13" t="s">
        <v>90</v>
      </c>
      <c r="E28" s="14"/>
    </row>
    <row r="29" customFormat="false" ht="15" hidden="false" customHeight="false" outlineLevel="0" collapsed="false">
      <c r="A29" s="11" t="str">
        <f aca="false">Aliases!A18</f>
        <v>dmarc</v>
      </c>
      <c r="B29" s="11" t="str">
        <f aca="false">A29&amp;"@"&amp;Settings!$B$4</f>
        <v>dmarc@llansannan-cc.llyw.cymru</v>
      </c>
      <c r="C29" s="11" t="str">
        <f aca="false">Aliases!C18</f>
        <v>delyth.williams@llansannan-cc.gov.wales</v>
      </c>
      <c r="D29" s="11" t="s">
        <v>90</v>
      </c>
      <c r="E29" s="12"/>
    </row>
  </sheetData>
  <dataValidations count="1">
    <dataValidation allowBlank="true" errorStyle="stop" operator="between" showDropDown="false" showErrorMessage="false" showInputMessage="false" sqref="E5:E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30" hidden="false" customHeight="true" outlineLevel="0" collapsed="false">
      <c r="A4" s="10" t="s">
        <v>93</v>
      </c>
      <c r="B4" s="10" t="s">
        <v>74</v>
      </c>
      <c r="C4" s="10" t="s">
        <v>94</v>
      </c>
      <c r="D4" s="10" t="s">
        <v>95</v>
      </c>
      <c r="E4" s="10" t="s">
        <v>96</v>
      </c>
      <c r="F4" s="10" t="s">
        <v>35</v>
      </c>
    </row>
    <row r="5" customFormat="false" ht="23.85" hidden="false" customHeight="false" outlineLevel="0" collapsed="false">
      <c r="A5" s="16" t="str">
        <f aca="false">Settings!$B$3</f>
        <v>llansannan-cc.gov.wales</v>
      </c>
      <c r="B5" s="16" t="s">
        <v>97</v>
      </c>
      <c r="C5" s="17" t="s">
        <v>98</v>
      </c>
      <c r="D5" s="17" t="s">
        <v>99</v>
      </c>
      <c r="E5" s="16" t="s">
        <v>100</v>
      </c>
      <c r="F5" s="17" t="s">
        <v>101</v>
      </c>
    </row>
    <row r="6" customFormat="false" ht="23.85" hidden="false" customHeight="false" outlineLevel="0" collapsed="false">
      <c r="A6" s="16" t="str">
        <f aca="false">Settings!$B$3</f>
        <v>llansannan-cc.gov.wales</v>
      </c>
      <c r="B6" s="16" t="s">
        <v>102</v>
      </c>
      <c r="C6" s="17" t="s">
        <v>98</v>
      </c>
      <c r="D6" s="17" t="s">
        <v>103</v>
      </c>
      <c r="E6" s="16" t="s">
        <v>100</v>
      </c>
      <c r="F6" s="17" t="s">
        <v>104</v>
      </c>
    </row>
    <row r="7" customFormat="false" ht="15" hidden="false" customHeight="false" outlineLevel="0" collapsed="false">
      <c r="A7" s="16" t="str">
        <f aca="false">Settings!$B$3</f>
        <v>llansannan-cc.gov.wales</v>
      </c>
      <c r="B7" s="16" t="s">
        <v>105</v>
      </c>
      <c r="C7" s="17" t="s">
        <v>106</v>
      </c>
      <c r="D7" s="17" t="s">
        <v>107</v>
      </c>
      <c r="E7" s="16" t="s">
        <v>100</v>
      </c>
      <c r="F7" s="17" t="s">
        <v>108</v>
      </c>
    </row>
    <row r="8" customFormat="false" ht="23.85" hidden="false" customHeight="false" outlineLevel="0" collapsed="false">
      <c r="A8" s="11" t="str">
        <f aca="false">Settings!$B$3</f>
        <v>llansannan-cc.gov.wales</v>
      </c>
      <c r="B8" s="11" t="s">
        <v>109</v>
      </c>
      <c r="C8" s="4" t="s">
        <v>110</v>
      </c>
      <c r="D8" s="4" t="str">
        <f aca="false">"v=DMARC1; p=none; rua=mailto:dmarc@"&amp;Settings!$B$3&amp;"; fo=1"</f>
        <v>v=DMARC1; p=none; rua=mailto:dmarc@llansannan-cc.gov.wales; fo=1</v>
      </c>
      <c r="E8" s="11" t="s">
        <v>111</v>
      </c>
      <c r="F8" s="4" t="s">
        <v>112</v>
      </c>
    </row>
    <row r="9" customFormat="false" ht="23.85" hidden="false" customHeight="false" outlineLevel="0" collapsed="false">
      <c r="A9" s="16" t="str">
        <f aca="false">Settings!$B$3</f>
        <v>llansannan-cc.gov.wales</v>
      </c>
      <c r="B9" s="16" t="s">
        <v>113</v>
      </c>
      <c r="C9" s="17" t="s">
        <v>114</v>
      </c>
      <c r="D9" s="17" t="s">
        <v>115</v>
      </c>
      <c r="E9" s="16" t="s">
        <v>100</v>
      </c>
      <c r="F9" s="17" t="s">
        <v>116</v>
      </c>
    </row>
    <row r="10" customFormat="false" ht="15" hidden="false" customHeight="false" outlineLevel="0" collapsed="false">
      <c r="A10" s="16" t="str">
        <f aca="false">Settings!$B$4</f>
        <v>llansannan-cc.llyw.cymru</v>
      </c>
      <c r="B10" s="16" t="s">
        <v>97</v>
      </c>
      <c r="C10" s="17" t="s">
        <v>98</v>
      </c>
      <c r="D10" s="17" t="s">
        <v>117</v>
      </c>
      <c r="E10" s="16" t="s">
        <v>100</v>
      </c>
      <c r="F10" s="17" t="s">
        <v>118</v>
      </c>
    </row>
    <row r="11" customFormat="false" ht="23.85" hidden="false" customHeight="false" outlineLevel="0" collapsed="false">
      <c r="A11" s="11" t="str">
        <f aca="false">Settings!$B$4</f>
        <v>llansannan-cc.llyw.cymru</v>
      </c>
      <c r="B11" s="11" t="s">
        <v>102</v>
      </c>
      <c r="C11" s="4" t="s">
        <v>98</v>
      </c>
      <c r="D11" s="4" t="s">
        <v>119</v>
      </c>
      <c r="E11" s="11" t="s">
        <v>111</v>
      </c>
      <c r="F11" s="4" t="s">
        <v>120</v>
      </c>
    </row>
    <row r="12" customFormat="false" ht="35.05" hidden="false" customHeight="false" outlineLevel="0" collapsed="false">
      <c r="A12" s="11" t="str">
        <f aca="false">Settings!$B$4</f>
        <v>llansannan-cc.llyw.cymru</v>
      </c>
      <c r="B12" s="11" t="s">
        <v>109</v>
      </c>
      <c r="C12" s="4" t="s">
        <v>110</v>
      </c>
      <c r="D12" s="4" t="str">
        <f aca="false">"v=DMARC1; p=reject; rua=mailto:dmarc@"&amp;Settings!$B$4</f>
        <v>v=DMARC1; p=reject; rua=mailto:dmarc@llansannan-cc.llyw.cymru</v>
      </c>
      <c r="E12" s="11" t="s">
        <v>111</v>
      </c>
      <c r="F12" s="4" t="s">
        <v>121</v>
      </c>
    </row>
    <row r="14" customFormat="false" ht="15" hidden="false" customHeight="false" outlineLevel="0" collapsed="false">
      <c r="A14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2026-10-10T18:47:01Z</dcterms:created>
  <dc:creator>openpyxl</dc:creator>
  <dc:description/>
  <dc:language>en-US</dc:language>
  <cp:lastModifiedBy/>
  <dcterms:modified xsi:type="dcterms:W3CDTF">2026-10-10T18:47:01Z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